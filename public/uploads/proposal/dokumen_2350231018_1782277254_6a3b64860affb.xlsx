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 IP SLIM 3\Downloads\"/>
    </mc:Choice>
  </mc:AlternateContent>
  <xr:revisionPtr revIDLastSave="0" documentId="13_ncr:1_{5CC2355A-84F5-4D04-88FC-16C26AD2361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Kuesioner DSS01" sheetId="1" r:id="rId1"/>
    <sheet name="Perhitungan Maturity Lev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2" i="2" l="1"/>
  <c r="D66" i="2"/>
  <c r="D65" i="2"/>
  <c r="D67" i="2" s="1"/>
  <c r="D64" i="2"/>
  <c r="D63" i="2"/>
  <c r="D62" i="2"/>
  <c r="F57" i="2"/>
  <c r="F56" i="2"/>
  <c r="F55" i="2"/>
  <c r="F54" i="2"/>
  <c r="F53" i="2"/>
  <c r="G39" i="2"/>
  <c r="G30" i="2"/>
  <c r="G21" i="2"/>
  <c r="D76" i="2"/>
  <c r="D75" i="2"/>
  <c r="D74" i="2"/>
  <c r="D73" i="2"/>
  <c r="C67" i="2"/>
  <c r="F62" i="2" s="1"/>
  <c r="G62" i="2" s="1"/>
  <c r="H55" i="2"/>
  <c r="I55" i="2" s="1"/>
  <c r="I54" i="2"/>
  <c r="H54" i="2"/>
  <c r="H53" i="2"/>
  <c r="G48" i="2"/>
  <c r="H57" i="2"/>
  <c r="I57" i="2" s="1"/>
  <c r="H56" i="2"/>
  <c r="I45" i="2"/>
  <c r="I34" i="2"/>
  <c r="I26" i="2"/>
  <c r="I18" i="2"/>
  <c r="F63" i="2" l="1"/>
  <c r="G63" i="2" s="1"/>
  <c r="F65" i="2"/>
  <c r="G65" i="2" s="1"/>
  <c r="F66" i="2"/>
  <c r="G66" i="2" s="1"/>
  <c r="F64" i="2"/>
  <c r="G64" i="2" s="1"/>
  <c r="D77" i="2"/>
</calcChain>
</file>

<file path=xl/sharedStrings.xml><?xml version="1.0" encoding="utf-8"?>
<sst xmlns="http://schemas.openxmlformats.org/spreadsheetml/2006/main" count="232" uniqueCount="100">
  <si>
    <t>No</t>
  </si>
  <si>
    <t>Pertanyaan/Statement</t>
  </si>
  <si>
    <t>Level</t>
  </si>
  <si>
    <t>N
(0.00)</t>
  </si>
  <si>
    <t>P
(0.33)</t>
  </si>
  <si>
    <t>L
(0.66)</t>
  </si>
  <si>
    <t>F
(1.00)</t>
  </si>
  <si>
    <t>Jawaban</t>
  </si>
  <si>
    <t>Nilai</t>
  </si>
  <si>
    <t>Apakah terdapat prosedur tertulis untuk proses pencatatan stok obat masuk dan keluar?</t>
  </si>
  <si>
    <t>✓</t>
  </si>
  <si>
    <t>F</t>
  </si>
  <si>
    <t>Apakah petugas inventory memiliki tugas dan tanggung jawab yang jelas dalam pengelolaan stok obat?</t>
  </si>
  <si>
    <t>Apakah setiap transaksi stok obat selalu dicatat ke dalam sistem informasi?</t>
  </si>
  <si>
    <t>Apakah stok obat berkurang otomatis di sistem ketika ada transaksi penjualan?</t>
  </si>
  <si>
    <t>Apakah sistem dapat diakses oleh semua shift (pagi, siang, malam) untuk mengecek stok?</t>
  </si>
  <si>
    <t>Apakah terdapat standar dalam melakukan input data stok obat ke sistem?</t>
  </si>
  <si>
    <t>Apakah dilakukan pengecekan kesesuaian antara stok fisik dan stok pada sistem secara berkala?</t>
  </si>
  <si>
    <t>L</t>
  </si>
  <si>
    <t>Apakah setiap selisih stok yang ditemukan didokumentasikan dan ditindaklanjuti?</t>
  </si>
  <si>
    <t>Apakah pengecekan stok obat kosong masih dilakukan secara manual oleh shift malam?</t>
  </si>
  <si>
    <t>Apakah sistem menampilkan peringatan ketika stok obat hampir habis?</t>
  </si>
  <si>
    <t>P</t>
  </si>
  <si>
    <t>Apakah terdapat prosedur penanganan ketika terjadi kesalahan data atau kehilangan stok obat?</t>
  </si>
  <si>
    <t>Apakah sistem digunakan untuk memantau stok minimum agar tidak terjadi kehabisan obat?</t>
  </si>
  <si>
    <t>Apakah stok obat di sistem Gpost dan di platform online (Shopee/TikTok) selalu tersinkronisasi secara otomatis?</t>
  </si>
  <si>
    <t>Apakah terdapat prosedur tetap untuk input barang datang dari distributor ke sistem?</t>
  </si>
  <si>
    <t>Apakah data stok obat diperbarui secara real-time setiap ada transaksi?</t>
  </si>
  <si>
    <t>Apakah petugas mendapatkan pelatihan terkait penggunaan sistem inventory obat?</t>
  </si>
  <si>
    <t>Apakah dilakukan evaluasi terhadap kendala yang sering terjadi dalam pengelolaan inventory obat?</t>
  </si>
  <si>
    <t>Apakah terdapat upaya peningkatan proses pengelolaan inventory berdasarkan hasil evaluasi sebelumnya?</t>
  </si>
  <si>
    <t>Apakah laporan stok bulanan dapat ditarik langsung dari sistem tanpa rekap manual?</t>
  </si>
  <si>
    <t>Apakah proses pemisahan order obat ke distributor sudah terintegrasi di sistem (tidak lagi manual)?</t>
  </si>
  <si>
    <t>Apakah data inventory digunakan sebagai dasar dalam perencanaan pengadaan obat?</t>
  </si>
  <si>
    <t>Apakah informasi inventory dianalisis secara berkala untuk mendukung pengambilan keputusan bisnis apotek?</t>
  </si>
  <si>
    <t>Apakah data stok obat bisa ditemukan dengan mudah dan cepat saat dibutuhkan?</t>
  </si>
  <si>
    <t>Apakah dilakukan inovasi atau pengembangan sistem inventory berdasarkan permasalahan yang ditemukan selama operasional berlangsung?</t>
  </si>
  <si>
    <t>Apakah organisasi menerapkan tindakan pencegahan agar permasalahan inventory yang pernah terjadi tidak terulang kembali?</t>
  </si>
  <si>
    <t>Keterangan Maturity Level:</t>
  </si>
  <si>
    <t xml:space="preserve">  N = Not Achieved: 0 - 15% achievement</t>
  </si>
  <si>
    <t xml:space="preserve">  P = Partially Achieved: 15 - 50% achievement</t>
  </si>
  <si>
    <t xml:space="preserve">  L = Largely Achieved: 50 - 85% achievement</t>
  </si>
  <si>
    <t xml:space="preserve">  F = Fully Achieved: 85 - 100% achievement</t>
  </si>
  <si>
    <t>LANGKAH 3 - Perhitungan Nilai Kepatuhan per Level</t>
  </si>
  <si>
    <t>Level 1</t>
  </si>
  <si>
    <t>No Pertanyaan</t>
  </si>
  <si>
    <t>N</t>
  </si>
  <si>
    <t>Pertanyaan 1</t>
  </si>
  <si>
    <t>Pertanyaan 2</t>
  </si>
  <si>
    <t>Pertanyaan 3</t>
  </si>
  <si>
    <t>Pertanyaan 4</t>
  </si>
  <si>
    <t>Pertanyaan 5</t>
  </si>
  <si>
    <t>TOTAL</t>
  </si>
  <si>
    <t>Level 2</t>
  </si>
  <si>
    <t>Pertanyaan 6</t>
  </si>
  <si>
    <t>Pertanyaan 7</t>
  </si>
  <si>
    <t>Pertanyaan 8</t>
  </si>
  <si>
    <t>Pertanyaan 9</t>
  </si>
  <si>
    <t>Pertanyaan 10</t>
  </si>
  <si>
    <t>Level 3</t>
  </si>
  <si>
    <t>Pertanyaan 11</t>
  </si>
  <si>
    <t>Pertanyaan 12</t>
  </si>
  <si>
    <t>Pertanyaan 13</t>
  </si>
  <si>
    <t>Pertanyaan 14</t>
  </si>
  <si>
    <t>Pertanyaan 15</t>
  </si>
  <si>
    <t>Level 4</t>
  </si>
  <si>
    <t>Pertanyaan 16</t>
  </si>
  <si>
    <t>Pertanyaan 17</t>
  </si>
  <si>
    <t>Pertanyaan 18</t>
  </si>
  <si>
    <t>Pertanyaan 19</t>
  </si>
  <si>
    <t>Pertanyaan 20</t>
  </si>
  <si>
    <t>Level 5</t>
  </si>
  <si>
    <t>Pertanyaan 21</t>
  </si>
  <si>
    <t>Pertanyaan 22</t>
  </si>
  <si>
    <t>Pertanyaan 23</t>
  </si>
  <si>
    <t>Pertanyaan 24</t>
  </si>
  <si>
    <t>Pertanyaan 25</t>
  </si>
  <si>
    <t>LANGKAH 4 - Menghitung Nilai Kepatuhan (Maturity Level Compliance Value)</t>
  </si>
  <si>
    <t>Proses</t>
  </si>
  <si>
    <t>Process Dimension</t>
  </si>
  <si>
    <t>Sum Nilai Kepatuhan (A)</t>
  </si>
  <si>
    <t>Jumlah Pernyataan (B)</t>
  </si>
  <si>
    <t>Maturity Level Compliance Value (A/B)</t>
  </si>
  <si>
    <t>DSS01</t>
  </si>
  <si>
    <t>Manage Operations</t>
  </si>
  <si>
    <t>LANGKAH 5 - Normalisasi Nilai Kepatuhan</t>
  </si>
  <si>
    <t>Not Normalized Compliance Values (A)</t>
  </si>
  <si>
    <t>Normalized Compliance Values [A/sum(A)]</t>
  </si>
  <si>
    <t>-</t>
  </si>
  <si>
    <t>Proses A (Level 1)</t>
  </si>
  <si>
    <t>Proses B (Level 2)</t>
  </si>
  <si>
    <t>Proses C (Level 3)</t>
  </si>
  <si>
    <t>Proses D (Level 4)</t>
  </si>
  <si>
    <t>Proses E (Level 5)</t>
  </si>
  <si>
    <t>LANGKAH 6 - Menghitung Total Maturity Level</t>
  </si>
  <si>
    <t>Normalized Compliance Values (B)</t>
  </si>
  <si>
    <t>Contribution (B x Level)</t>
  </si>
  <si>
    <t>TOTAL MATURITY LEVEL</t>
  </si>
  <si>
    <t>TOTAL MATURITY LEVEL DSS01 = 2.62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</si>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</sst>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3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2" fontId="0" fillId="0" borderId="0" xfId="0" applyNumberFormat="1"/>
    <xf numFmtId="0" fontId="0" fillId="0" borderId="0" xfId="0" applyFont="1" applyFill="1"/>
    <xf numFmtId="0" fontId="0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2" fontId="0" fillId="0" borderId="0" xfId="0" applyNumberFormat="1" applyFont="1" applyFill="1"/>
    <xf numFmtId="0" fontId="6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/>
    </xf>
    <xf numFmtId="2" fontId="6" fillId="0" borderId="2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2" fontId="8" fillId="0" borderId="2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2" borderId="0" xfId="0" applyFont="1" applyFill="1"/>
    <xf numFmtId="0" fontId="0" fillId="0" borderId="2" xfId="0" applyFont="1" applyFill="1" applyBorder="1"/>
    <xf numFmtId="2" fontId="0" fillId="0" borderId="2" xfId="0" applyNumberFormat="1" applyFont="1" applyFill="1" applyBorder="1"/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workbookViewId="0">
      <selection activeCell="A31" sqref="A31:B31"/>
    </sheetView>
  </sheetViews>
  <sheetFormatPr defaultRowHeight="14.5" x14ac:dyDescent="0.35"/>
  <cols>
    <col min="1" max="1" width="5" style="3" customWidth="1"/>
    <col min="2" max="2" width="52" style="3" customWidth="1"/>
    <col min="3" max="7" width="7" style="3" customWidth="1"/>
    <col min="8" max="8" width="10" style="3" customWidth="1"/>
    <col min="9" max="9" width="8" style="3" customWidth="1"/>
    <col min="10" max="16384" width="8.7265625" style="3"/>
  </cols>
  <sheetData>
    <row r="1" spans="1:9" ht="35" customHeight="1" x14ac:dyDescent="0.35">
      <c r="A1"/>
      <c r="B1"/>
      <c r="C1"/>
      <c r="D1"/>
      <c r="E1"/>
      <c r="F1"/>
      <c r="G1"/>
      <c r="H1"/>
      <c r="I1"/>
    </row>
    <row r="2" spans="1:9" ht="20" customHeight="1" x14ac:dyDescent="0.35">
      <c r="A2"/>
      <c r="B2"/>
      <c r="C2"/>
      <c r="D2"/>
      <c r="E2"/>
      <c r="F2"/>
      <c r="G2"/>
      <c r="H2"/>
      <c r="I2"/>
    </row>
    <row r="3" spans="1:9" ht="8" customHeight="1" x14ac:dyDescent="0.35"/>
    <row r="4" spans="1:9" ht="35" customHeight="1" x14ac:dyDescent="0.35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</row>
    <row r="5" spans="1:9" ht="35" customHeight="1" x14ac:dyDescent="0.35">
      <c r="A5" s="4">
        <v>1</v>
      </c>
      <c r="B5" s="9" t="s">
        <v>9</v>
      </c>
      <c r="C5" s="4">
        <v>1</v>
      </c>
      <c r="D5" s="10"/>
      <c r="E5" s="10"/>
      <c r="F5" s="10"/>
      <c r="G5" s="11" t="s">
        <v>10</v>
      </c>
      <c r="H5" s="5" t="s">
        <v>11</v>
      </c>
      <c r="I5" s="6">
        <v>1</v>
      </c>
    </row>
    <row r="6" spans="1:9" ht="35" customHeight="1" x14ac:dyDescent="0.35">
      <c r="A6" s="4">
        <v>2</v>
      </c>
      <c r="B6" s="9" t="s">
        <v>12</v>
      </c>
      <c r="C6" s="4">
        <v>1</v>
      </c>
      <c r="D6" s="10"/>
      <c r="E6" s="10"/>
      <c r="F6" s="10"/>
      <c r="G6" s="11" t="s">
        <v>10</v>
      </c>
      <c r="H6" s="5" t="s">
        <v>11</v>
      </c>
      <c r="I6" s="6">
        <v>1</v>
      </c>
    </row>
    <row r="7" spans="1:9" ht="35" customHeight="1" x14ac:dyDescent="0.35">
      <c r="A7" s="4">
        <v>3</v>
      </c>
      <c r="B7" s="9" t="s">
        <v>13</v>
      </c>
      <c r="C7" s="4">
        <v>1</v>
      </c>
      <c r="D7" s="10"/>
      <c r="E7" s="10"/>
      <c r="F7" s="10"/>
      <c r="G7" s="11" t="s">
        <v>10</v>
      </c>
      <c r="H7" s="5" t="s">
        <v>11</v>
      </c>
      <c r="I7" s="6">
        <v>1</v>
      </c>
    </row>
    <row r="8" spans="1:9" ht="35" customHeight="1" x14ac:dyDescent="0.35">
      <c r="A8" s="4">
        <v>4</v>
      </c>
      <c r="B8" s="9" t="s">
        <v>14</v>
      </c>
      <c r="C8" s="4">
        <v>1</v>
      </c>
      <c r="D8" s="10"/>
      <c r="E8" s="10"/>
      <c r="F8" s="10"/>
      <c r="G8" s="11" t="s">
        <v>10</v>
      </c>
      <c r="H8" s="5" t="s">
        <v>11</v>
      </c>
      <c r="I8" s="6">
        <v>1</v>
      </c>
    </row>
    <row r="9" spans="1:9" ht="35" customHeight="1" x14ac:dyDescent="0.35">
      <c r="A9" s="4">
        <v>5</v>
      </c>
      <c r="B9" s="9" t="s">
        <v>15</v>
      </c>
      <c r="C9" s="4">
        <v>1</v>
      </c>
      <c r="D9" s="10"/>
      <c r="E9" s="10"/>
      <c r="F9" s="10"/>
      <c r="G9" s="11" t="s">
        <v>10</v>
      </c>
      <c r="H9" s="5" t="s">
        <v>11</v>
      </c>
      <c r="I9" s="6">
        <v>1</v>
      </c>
    </row>
    <row r="10" spans="1:9" ht="35" customHeight="1" x14ac:dyDescent="0.35">
      <c r="A10" s="4">
        <v>6</v>
      </c>
      <c r="B10" s="9" t="s">
        <v>16</v>
      </c>
      <c r="C10" s="4">
        <v>2</v>
      </c>
      <c r="D10" s="10"/>
      <c r="E10" s="10"/>
      <c r="F10" s="10"/>
      <c r="G10" s="11" t="s">
        <v>10</v>
      </c>
      <c r="H10" s="5" t="s">
        <v>11</v>
      </c>
      <c r="I10" s="6">
        <v>1</v>
      </c>
    </row>
    <row r="11" spans="1:9" ht="35" customHeight="1" x14ac:dyDescent="0.35">
      <c r="A11" s="4">
        <v>7</v>
      </c>
      <c r="B11" s="9" t="s">
        <v>17</v>
      </c>
      <c r="C11" s="4">
        <v>2</v>
      </c>
      <c r="D11" s="10"/>
      <c r="E11" s="10"/>
      <c r="F11" s="11" t="s">
        <v>10</v>
      </c>
      <c r="G11" s="10"/>
      <c r="H11" s="5" t="s">
        <v>18</v>
      </c>
      <c r="I11" s="6">
        <v>0.66</v>
      </c>
    </row>
    <row r="12" spans="1:9" ht="35" customHeight="1" x14ac:dyDescent="0.35">
      <c r="A12" s="4">
        <v>8</v>
      </c>
      <c r="B12" s="9" t="s">
        <v>19</v>
      </c>
      <c r="C12" s="4">
        <v>2</v>
      </c>
      <c r="D12" s="10"/>
      <c r="E12" s="10"/>
      <c r="F12" s="10"/>
      <c r="G12" s="11" t="s">
        <v>10</v>
      </c>
      <c r="H12" s="5" t="s">
        <v>11</v>
      </c>
      <c r="I12" s="6">
        <v>1</v>
      </c>
    </row>
    <row r="13" spans="1:9" ht="35" customHeight="1" x14ac:dyDescent="0.35">
      <c r="A13" s="4">
        <v>9</v>
      </c>
      <c r="B13" s="9" t="s">
        <v>20</v>
      </c>
      <c r="C13" s="4">
        <v>2</v>
      </c>
      <c r="D13" s="10"/>
      <c r="E13" s="10"/>
      <c r="F13" s="10"/>
      <c r="G13" s="11" t="s">
        <v>10</v>
      </c>
      <c r="H13" s="5" t="s">
        <v>11</v>
      </c>
      <c r="I13" s="6">
        <v>1</v>
      </c>
    </row>
    <row r="14" spans="1:9" ht="35" customHeight="1" x14ac:dyDescent="0.35">
      <c r="A14" s="4">
        <v>10</v>
      </c>
      <c r="B14" s="9" t="s">
        <v>21</v>
      </c>
      <c r="C14" s="4">
        <v>2</v>
      </c>
      <c r="D14" s="11" t="s">
        <v>10</v>
      </c>
      <c r="E14" s="10"/>
      <c r="F14" s="10"/>
      <c r="G14" s="10"/>
      <c r="H14" s="5" t="s">
        <v>46</v>
      </c>
      <c r="I14" s="6">
        <v>0</v>
      </c>
    </row>
    <row r="15" spans="1:9" ht="35" customHeight="1" x14ac:dyDescent="0.35">
      <c r="A15" s="4">
        <v>11</v>
      </c>
      <c r="B15" s="9" t="s">
        <v>23</v>
      </c>
      <c r="C15" s="4">
        <v>3</v>
      </c>
      <c r="D15" s="10"/>
      <c r="E15" s="10"/>
      <c r="F15" s="10"/>
      <c r="G15" s="11" t="s">
        <v>10</v>
      </c>
      <c r="H15" s="5" t="s">
        <v>11</v>
      </c>
      <c r="I15" s="6">
        <v>1</v>
      </c>
    </row>
    <row r="16" spans="1:9" ht="35" customHeight="1" x14ac:dyDescent="0.35">
      <c r="A16" s="4">
        <v>12</v>
      </c>
      <c r="B16" s="9" t="s">
        <v>24</v>
      </c>
      <c r="C16" s="4">
        <v>3</v>
      </c>
      <c r="D16" s="10"/>
      <c r="E16" s="10"/>
      <c r="F16" s="11" t="s">
        <v>10</v>
      </c>
      <c r="G16" s="10"/>
      <c r="H16" s="5" t="s">
        <v>18</v>
      </c>
      <c r="I16" s="6">
        <v>0.66</v>
      </c>
    </row>
    <row r="17" spans="1:9" ht="35" customHeight="1" x14ac:dyDescent="0.35">
      <c r="A17" s="4">
        <v>13</v>
      </c>
      <c r="B17" s="9" t="s">
        <v>25</v>
      </c>
      <c r="C17" s="4">
        <v>3</v>
      </c>
      <c r="D17" s="11" t="s">
        <v>10</v>
      </c>
      <c r="E17" s="11"/>
      <c r="F17" s="10"/>
      <c r="G17" s="10"/>
      <c r="H17" s="5" t="s">
        <v>46</v>
      </c>
      <c r="I17" s="6">
        <v>0</v>
      </c>
    </row>
    <row r="18" spans="1:9" ht="35" customHeight="1" x14ac:dyDescent="0.35">
      <c r="A18" s="4">
        <v>14</v>
      </c>
      <c r="B18" s="9" t="s">
        <v>26</v>
      </c>
      <c r="C18" s="4">
        <v>3</v>
      </c>
      <c r="D18" s="10"/>
      <c r="E18" s="10"/>
      <c r="F18" s="10"/>
      <c r="G18" s="11" t="s">
        <v>10</v>
      </c>
      <c r="H18" s="5" t="s">
        <v>11</v>
      </c>
      <c r="I18" s="6">
        <v>1</v>
      </c>
    </row>
    <row r="19" spans="1:9" ht="35" customHeight="1" x14ac:dyDescent="0.35">
      <c r="A19" s="4">
        <v>15</v>
      </c>
      <c r="B19" s="9" t="s">
        <v>27</v>
      </c>
      <c r="C19" s="4">
        <v>3</v>
      </c>
      <c r="D19" s="10"/>
      <c r="E19" s="10"/>
      <c r="F19" s="10"/>
      <c r="G19" s="11" t="s">
        <v>10</v>
      </c>
      <c r="H19" s="5" t="s">
        <v>11</v>
      </c>
      <c r="I19" s="6">
        <v>1</v>
      </c>
    </row>
    <row r="20" spans="1:9" ht="35" customHeight="1" x14ac:dyDescent="0.35">
      <c r="A20" s="4">
        <v>16</v>
      </c>
      <c r="B20" s="9" t="s">
        <v>28</v>
      </c>
      <c r="C20" s="4">
        <v>4</v>
      </c>
      <c r="D20" s="11" t="s">
        <v>10</v>
      </c>
      <c r="E20" s="11"/>
      <c r="F20" s="10"/>
      <c r="G20" s="10"/>
      <c r="H20" s="5" t="s">
        <v>46</v>
      </c>
      <c r="I20" s="6">
        <v>0</v>
      </c>
    </row>
    <row r="21" spans="1:9" ht="35" customHeight="1" x14ac:dyDescent="0.35">
      <c r="A21" s="4">
        <v>17</v>
      </c>
      <c r="B21" s="9" t="s">
        <v>29</v>
      </c>
      <c r="C21" s="4">
        <v>4</v>
      </c>
      <c r="D21" s="10"/>
      <c r="E21" s="11" t="s">
        <v>10</v>
      </c>
      <c r="F21" s="11"/>
      <c r="G21" s="10"/>
      <c r="H21" s="5" t="s">
        <v>22</v>
      </c>
      <c r="I21" s="6">
        <v>0.33</v>
      </c>
    </row>
    <row r="22" spans="1:9" ht="35" customHeight="1" x14ac:dyDescent="0.35">
      <c r="A22" s="4">
        <v>18</v>
      </c>
      <c r="B22" s="9" t="s">
        <v>30</v>
      </c>
      <c r="C22" s="4">
        <v>4</v>
      </c>
      <c r="D22" s="11" t="s">
        <v>10</v>
      </c>
      <c r="E22" s="11"/>
      <c r="F22" s="10"/>
      <c r="G22" s="10"/>
      <c r="H22" s="5" t="s">
        <v>46</v>
      </c>
      <c r="I22" s="6">
        <v>0</v>
      </c>
    </row>
    <row r="23" spans="1:9" ht="35" customHeight="1" x14ac:dyDescent="0.35">
      <c r="A23" s="4">
        <v>19</v>
      </c>
      <c r="B23" s="9" t="s">
        <v>31</v>
      </c>
      <c r="C23" s="4">
        <v>4</v>
      </c>
      <c r="D23" s="10"/>
      <c r="E23" s="10"/>
      <c r="F23" s="10"/>
      <c r="G23" s="11" t="s">
        <v>10</v>
      </c>
      <c r="H23" s="5" t="s">
        <v>11</v>
      </c>
      <c r="I23" s="6">
        <v>1</v>
      </c>
    </row>
    <row r="24" spans="1:9" ht="35" customHeight="1" x14ac:dyDescent="0.35">
      <c r="A24" s="4">
        <v>20</v>
      </c>
      <c r="B24" s="9" t="s">
        <v>32</v>
      </c>
      <c r="C24" s="4">
        <v>4</v>
      </c>
      <c r="D24" s="11" t="s">
        <v>10</v>
      </c>
      <c r="E24" s="11"/>
      <c r="F24" s="10"/>
      <c r="G24" s="10"/>
      <c r="H24" s="5" t="s">
        <v>46</v>
      </c>
      <c r="I24" s="6">
        <v>0</v>
      </c>
    </row>
    <row r="25" spans="1:9" ht="35" customHeight="1" x14ac:dyDescent="0.35">
      <c r="A25" s="4">
        <v>21</v>
      </c>
      <c r="B25" s="9" t="s">
        <v>33</v>
      </c>
      <c r="C25" s="4">
        <v>5</v>
      </c>
      <c r="D25" s="10"/>
      <c r="E25" s="10"/>
      <c r="F25" s="10"/>
      <c r="G25" s="11" t="s">
        <v>10</v>
      </c>
      <c r="H25" s="5" t="s">
        <v>11</v>
      </c>
      <c r="I25" s="6">
        <v>1</v>
      </c>
    </row>
    <row r="26" spans="1:9" ht="35" customHeight="1" x14ac:dyDescent="0.35">
      <c r="A26" s="4">
        <v>22</v>
      </c>
      <c r="B26" s="9" t="s">
        <v>34</v>
      </c>
      <c r="C26" s="4">
        <v>5</v>
      </c>
      <c r="D26" s="11" t="s">
        <v>10</v>
      </c>
      <c r="E26" s="11"/>
      <c r="F26" s="10"/>
      <c r="G26" s="10"/>
      <c r="H26" s="5" t="s">
        <v>46</v>
      </c>
      <c r="I26" s="6">
        <v>0</v>
      </c>
    </row>
    <row r="27" spans="1:9" ht="35" customHeight="1" x14ac:dyDescent="0.35">
      <c r="A27" s="4">
        <v>23</v>
      </c>
      <c r="B27" s="9" t="s">
        <v>35</v>
      </c>
      <c r="C27" s="4">
        <v>5</v>
      </c>
      <c r="D27" s="10"/>
      <c r="E27" s="10"/>
      <c r="F27" s="10"/>
      <c r="G27" s="11" t="s">
        <v>10</v>
      </c>
      <c r="H27" s="5" t="s">
        <v>11</v>
      </c>
      <c r="I27" s="6">
        <v>1</v>
      </c>
    </row>
    <row r="28" spans="1:9" ht="35" customHeight="1" x14ac:dyDescent="0.35">
      <c r="A28" s="4">
        <v>24</v>
      </c>
      <c r="B28" s="9" t="s">
        <v>36</v>
      </c>
      <c r="C28" s="4">
        <v>5</v>
      </c>
      <c r="D28" s="11" t="s">
        <v>10</v>
      </c>
      <c r="E28" s="11"/>
      <c r="F28" s="10"/>
      <c r="G28" s="10"/>
      <c r="H28" s="5" t="s">
        <v>46</v>
      </c>
      <c r="I28" s="6">
        <v>0</v>
      </c>
    </row>
    <row r="29" spans="1:9" ht="35" customHeight="1" x14ac:dyDescent="0.35">
      <c r="A29" s="4">
        <v>25</v>
      </c>
      <c r="B29" s="9" t="s">
        <v>37</v>
      </c>
      <c r="C29" s="4">
        <v>5</v>
      </c>
      <c r="D29" s="10"/>
      <c r="E29" s="10"/>
      <c r="F29" s="10"/>
      <c r="G29" s="11" t="s">
        <v>10</v>
      </c>
      <c r="H29" s="5" t="s">
        <v>11</v>
      </c>
      <c r="I29" s="6">
        <v>1</v>
      </c>
    </row>
    <row r="31" spans="1:9" x14ac:dyDescent="0.35">
      <c r="A31" s="12" t="s">
        <v>38</v>
      </c>
      <c r="B31" s="2"/>
    </row>
    <row r="32" spans="1:9" x14ac:dyDescent="0.35">
      <c r="A32" s="13" t="s">
        <v>39</v>
      </c>
      <c r="B32" s="2"/>
    </row>
    <row r="33" spans="1:9" x14ac:dyDescent="0.35">
      <c r="A33" s="13" t="s">
        <v>40</v>
      </c>
      <c r="B33" s="2"/>
    </row>
    <row r="34" spans="1:9" x14ac:dyDescent="0.35">
      <c r="A34" s="13" t="s">
        <v>41</v>
      </c>
      <c r="B34" s="2"/>
    </row>
    <row r="35" spans="1:9" x14ac:dyDescent="0.35">
      <c r="A35" s="13" t="s">
        <v>42</v>
      </c>
      <c r="B35" s="2"/>
    </row>
    <row r="37" spans="1:9" x14ac:dyDescent="0.35">
      <c r="A37" s="41" t="s">
        <v>99</v>
      </c>
      <c r="B37" s="42"/>
      <c r="C37" s="32"/>
      <c r="D37" s="32"/>
      <c r="E37" s="32"/>
      <c r="F37" s="32"/>
      <c r="G37" s="32"/>
      <c r="H37" s="32"/>
      <c r="I37" s="32"/>
    </row>
    <row r="38" spans="1:9" x14ac:dyDescent="0.35">
      <c r="A38" s="39" t="s">
        <v>46</v>
      </c>
      <c r="B38" s="40">
        <v>0</v>
      </c>
    </row>
    <row r="39" spans="1:9" x14ac:dyDescent="0.35">
      <c r="A39" s="39" t="s">
        <v>22</v>
      </c>
      <c r="B39" s="39">
        <v>0.33</v>
      </c>
    </row>
    <row r="40" spans="1:9" x14ac:dyDescent="0.35">
      <c r="A40" s="39" t="s">
        <v>18</v>
      </c>
      <c r="B40" s="39">
        <v>0.66</v>
      </c>
    </row>
    <row r="41" spans="1:9" x14ac:dyDescent="0.35">
      <c r="A41" s="39" t="s">
        <v>11</v>
      </c>
      <c r="B41" s="39">
        <v>1</v>
      </c>
    </row>
  </sheetData>
  <mergeCells count="6">
    <mergeCell ref="A33:B33"/>
    <mergeCell ref="A32:B32"/>
    <mergeCell ref="A31:B31"/>
    <mergeCell ref="A34:B34"/>
    <mergeCell ref="A35:B35"/>
    <mergeCell ref="A37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9"/>
  <sheetViews>
    <sheetView tabSelected="1" topLeftCell="A69" zoomScale="90" workbookViewId="0">
      <selection activeCell="F76" sqref="F76"/>
    </sheetView>
  </sheetViews>
  <sheetFormatPr defaultRowHeight="14.5" x14ac:dyDescent="0.35"/>
  <cols>
    <col min="1" max="1" width="18" customWidth="1"/>
    <col min="2" max="2" width="25.36328125" customWidth="1"/>
    <col min="3" max="3" width="25.6328125" customWidth="1"/>
    <col min="4" max="4" width="27.26953125" customWidth="1"/>
    <col min="5" max="5" width="15.6328125" customWidth="1"/>
    <col min="6" max="6" width="28.1796875" customWidth="1"/>
    <col min="7" max="7" width="8" customWidth="1"/>
    <col min="8" max="8" width="16" customWidth="1"/>
    <col min="9" max="9" width="22" customWidth="1"/>
    <col min="10" max="10" width="18" customWidth="1"/>
  </cols>
  <sheetData>
    <row r="1" spans="1:10" ht="35" customHeight="1" x14ac:dyDescent="0.35"/>
    <row r="2" spans="1:10" ht="20" customHeight="1" x14ac:dyDescent="0.35"/>
    <row r="4" spans="1:10" ht="20" customHeight="1" x14ac:dyDescent="0.35">
      <c r="A4" s="35" t="s">
        <v>43</v>
      </c>
      <c r="B4" s="36"/>
      <c r="C4" s="36"/>
      <c r="D4" s="36"/>
      <c r="E4" s="36"/>
      <c r="F4" s="36"/>
      <c r="G4" s="36"/>
      <c r="H4" s="32"/>
      <c r="I4" s="32"/>
      <c r="J4" s="32"/>
    </row>
    <row r="5" spans="1:10" ht="22" customHeight="1" x14ac:dyDescent="0.35">
      <c r="A5" s="33" t="s">
        <v>44</v>
      </c>
      <c r="B5" s="34"/>
      <c r="C5" s="34"/>
      <c r="D5" s="34"/>
      <c r="E5" s="34"/>
      <c r="F5" s="34"/>
      <c r="G5" s="34"/>
      <c r="H5" s="32"/>
      <c r="I5" s="32"/>
      <c r="J5" s="32"/>
    </row>
    <row r="6" spans="1:10" ht="20" customHeight="1" x14ac:dyDescent="0.35">
      <c r="A6" s="14" t="s">
        <v>45</v>
      </c>
      <c r="B6" s="14" t="s">
        <v>2</v>
      </c>
      <c r="C6" s="14" t="s">
        <v>46</v>
      </c>
      <c r="D6" s="14" t="s">
        <v>22</v>
      </c>
      <c r="E6" s="14" t="s">
        <v>18</v>
      </c>
      <c r="F6" s="14" t="s">
        <v>11</v>
      </c>
      <c r="G6" s="14" t="s">
        <v>8</v>
      </c>
      <c r="H6" s="3"/>
      <c r="I6" s="3"/>
      <c r="J6" s="3"/>
    </row>
    <row r="7" spans="1:10" ht="18" customHeight="1" x14ac:dyDescent="0.35">
      <c r="A7" s="15" t="s">
        <v>47</v>
      </c>
      <c r="B7" s="15">
        <v>1</v>
      </c>
      <c r="C7" s="15"/>
      <c r="D7" s="15"/>
      <c r="E7" s="15"/>
      <c r="F7" s="16" t="s">
        <v>10</v>
      </c>
      <c r="G7" s="17">
        <v>1</v>
      </c>
      <c r="H7" s="3"/>
      <c r="I7" s="3"/>
      <c r="J7" s="3"/>
    </row>
    <row r="8" spans="1:10" ht="18" customHeight="1" x14ac:dyDescent="0.35">
      <c r="A8" s="15" t="s">
        <v>48</v>
      </c>
      <c r="B8" s="15">
        <v>1</v>
      </c>
      <c r="C8" s="15"/>
      <c r="D8" s="15"/>
      <c r="E8" s="15"/>
      <c r="F8" s="16" t="s">
        <v>10</v>
      </c>
      <c r="G8" s="17">
        <v>1</v>
      </c>
      <c r="H8" s="3"/>
      <c r="I8" s="3"/>
      <c r="J8" s="3"/>
    </row>
    <row r="9" spans="1:10" ht="18" customHeight="1" x14ac:dyDescent="0.35">
      <c r="A9" s="15" t="s">
        <v>49</v>
      </c>
      <c r="B9" s="15">
        <v>1</v>
      </c>
      <c r="C9" s="15"/>
      <c r="D9" s="15"/>
      <c r="E9" s="15"/>
      <c r="F9" s="16" t="s">
        <v>10</v>
      </c>
      <c r="G9" s="17">
        <v>1</v>
      </c>
      <c r="H9" s="3"/>
      <c r="I9" s="3"/>
      <c r="J9" s="3"/>
    </row>
    <row r="10" spans="1:10" ht="18" customHeight="1" x14ac:dyDescent="0.35">
      <c r="A10" s="15" t="s">
        <v>50</v>
      </c>
      <c r="B10" s="15">
        <v>1</v>
      </c>
      <c r="C10" s="15"/>
      <c r="D10" s="15"/>
      <c r="E10" s="15"/>
      <c r="F10" s="16" t="s">
        <v>10</v>
      </c>
      <c r="G10" s="17">
        <v>1</v>
      </c>
      <c r="H10" s="3"/>
      <c r="I10" s="3"/>
      <c r="J10" s="3"/>
    </row>
    <row r="11" spans="1:10" ht="18" customHeight="1" x14ac:dyDescent="0.35">
      <c r="A11" s="15" t="s">
        <v>51</v>
      </c>
      <c r="B11" s="15">
        <v>1</v>
      </c>
      <c r="C11" s="15"/>
      <c r="D11" s="15"/>
      <c r="E11" s="15"/>
      <c r="F11" s="16" t="s">
        <v>10</v>
      </c>
      <c r="G11" s="17">
        <v>1</v>
      </c>
      <c r="H11" s="3"/>
      <c r="I11" s="3"/>
      <c r="J11" s="3"/>
    </row>
    <row r="12" spans="1:10" ht="18" customHeight="1" x14ac:dyDescent="0.35">
      <c r="A12" s="14" t="s">
        <v>52</v>
      </c>
      <c r="B12" s="15"/>
      <c r="C12" s="15"/>
      <c r="D12" s="15"/>
      <c r="E12" s="15"/>
      <c r="F12" s="15"/>
      <c r="G12" s="18">
        <v>5</v>
      </c>
      <c r="H12" s="3"/>
      <c r="I12" s="3"/>
      <c r="J12" s="3"/>
    </row>
    <row r="14" spans="1:10" ht="22" customHeight="1" x14ac:dyDescent="0.35">
      <c r="A14" s="33" t="s">
        <v>53</v>
      </c>
      <c r="B14" s="34"/>
      <c r="C14" s="34"/>
      <c r="D14" s="34"/>
      <c r="E14" s="34"/>
      <c r="F14" s="34"/>
      <c r="G14" s="34"/>
      <c r="H14" s="32"/>
      <c r="I14" s="32"/>
      <c r="J14" s="32"/>
    </row>
    <row r="15" spans="1:10" ht="20" customHeight="1" x14ac:dyDescent="0.35">
      <c r="A15" s="19" t="s">
        <v>45</v>
      </c>
      <c r="B15" s="19" t="s">
        <v>2</v>
      </c>
      <c r="C15" s="19" t="s">
        <v>46</v>
      </c>
      <c r="D15" s="19" t="s">
        <v>22</v>
      </c>
      <c r="E15" s="19" t="s">
        <v>18</v>
      </c>
      <c r="F15" s="19" t="s">
        <v>11</v>
      </c>
      <c r="G15" s="19" t="s">
        <v>8</v>
      </c>
    </row>
    <row r="16" spans="1:10" ht="18" customHeight="1" x14ac:dyDescent="0.35">
      <c r="A16" s="20" t="s">
        <v>54</v>
      </c>
      <c r="B16" s="20">
        <v>2</v>
      </c>
      <c r="C16" s="20"/>
      <c r="D16" s="20"/>
      <c r="E16" s="20"/>
      <c r="F16" s="21" t="s">
        <v>10</v>
      </c>
      <c r="G16" s="22">
        <v>1</v>
      </c>
    </row>
    <row r="17" spans="1:10" ht="18" customHeight="1" x14ac:dyDescent="0.35">
      <c r="A17" s="20" t="s">
        <v>55</v>
      </c>
      <c r="B17" s="20">
        <v>2</v>
      </c>
      <c r="C17" s="20"/>
      <c r="D17" s="20"/>
      <c r="E17" s="21" t="s">
        <v>10</v>
      </c>
      <c r="F17" s="20"/>
      <c r="G17" s="22">
        <v>0.66</v>
      </c>
    </row>
    <row r="18" spans="1:10" ht="18" customHeight="1" x14ac:dyDescent="0.35">
      <c r="A18" s="20" t="s">
        <v>56</v>
      </c>
      <c r="B18" s="20">
        <v>2</v>
      </c>
      <c r="C18" s="20"/>
      <c r="D18" s="20"/>
      <c r="E18" s="20"/>
      <c r="F18" s="21" t="s">
        <v>10</v>
      </c>
      <c r="G18" s="22">
        <v>1</v>
      </c>
      <c r="I18" s="1">
        <f>SUM(G16:G20)</f>
        <v>3.66</v>
      </c>
    </row>
    <row r="19" spans="1:10" ht="18" customHeight="1" x14ac:dyDescent="0.35">
      <c r="A19" s="20" t="s">
        <v>57</v>
      </c>
      <c r="B19" s="20">
        <v>2</v>
      </c>
      <c r="C19" s="20"/>
      <c r="D19" s="20"/>
      <c r="E19" s="20"/>
      <c r="F19" s="21" t="s">
        <v>10</v>
      </c>
      <c r="G19" s="22">
        <v>1</v>
      </c>
    </row>
    <row r="20" spans="1:10" ht="18" customHeight="1" x14ac:dyDescent="0.35">
      <c r="A20" s="20" t="s">
        <v>58</v>
      </c>
      <c r="B20" s="20">
        <v>2</v>
      </c>
      <c r="C20" s="21" t="s">
        <v>10</v>
      </c>
      <c r="D20" s="21"/>
      <c r="E20" s="20"/>
      <c r="F20" s="20"/>
      <c r="G20" s="22">
        <v>0</v>
      </c>
    </row>
    <row r="21" spans="1:10" ht="18" customHeight="1" x14ac:dyDescent="0.35">
      <c r="A21" s="19" t="s">
        <v>52</v>
      </c>
      <c r="B21" s="20"/>
      <c r="C21" s="20"/>
      <c r="D21" s="20"/>
      <c r="E21" s="20"/>
      <c r="F21" s="20"/>
      <c r="G21" s="23">
        <f>SUM(G16:G20)</f>
        <v>3.66</v>
      </c>
    </row>
    <row r="23" spans="1:10" ht="22" customHeight="1" x14ac:dyDescent="0.35">
      <c r="A23" s="30" t="s">
        <v>59</v>
      </c>
      <c r="B23" s="31"/>
      <c r="C23" s="31"/>
      <c r="D23" s="31"/>
      <c r="E23" s="31"/>
      <c r="F23" s="31"/>
      <c r="G23" s="31"/>
      <c r="H23" s="32"/>
      <c r="I23" s="32"/>
      <c r="J23" s="32"/>
    </row>
    <row r="24" spans="1:10" ht="20" customHeight="1" x14ac:dyDescent="0.35">
      <c r="A24" s="19" t="s">
        <v>45</v>
      </c>
      <c r="B24" s="19" t="s">
        <v>2</v>
      </c>
      <c r="C24" s="19" t="s">
        <v>46</v>
      </c>
      <c r="D24" s="19" t="s">
        <v>22</v>
      </c>
      <c r="E24" s="19" t="s">
        <v>18</v>
      </c>
      <c r="F24" s="19" t="s">
        <v>11</v>
      </c>
      <c r="G24" s="19" t="s">
        <v>8</v>
      </c>
      <c r="H24" s="3"/>
      <c r="I24" s="3"/>
      <c r="J24" s="3"/>
    </row>
    <row r="25" spans="1:10" ht="18" customHeight="1" x14ac:dyDescent="0.35">
      <c r="A25" s="20" t="s">
        <v>60</v>
      </c>
      <c r="B25" s="20">
        <v>3</v>
      </c>
      <c r="C25" s="20"/>
      <c r="D25" s="20"/>
      <c r="E25" s="20"/>
      <c r="F25" s="21" t="s">
        <v>10</v>
      </c>
      <c r="G25" s="22">
        <v>1</v>
      </c>
      <c r="H25" s="3"/>
      <c r="I25" s="3"/>
      <c r="J25" s="3"/>
    </row>
    <row r="26" spans="1:10" ht="18" customHeight="1" x14ac:dyDescent="0.35">
      <c r="A26" s="20" t="s">
        <v>61</v>
      </c>
      <c r="B26" s="20">
        <v>3</v>
      </c>
      <c r="C26" s="20"/>
      <c r="D26" s="20"/>
      <c r="E26" s="21" t="s">
        <v>10</v>
      </c>
      <c r="F26" s="20"/>
      <c r="G26" s="22">
        <v>0.66</v>
      </c>
      <c r="H26" s="3"/>
      <c r="I26" s="7">
        <f>SUM(G25:G29)</f>
        <v>3.66</v>
      </c>
      <c r="J26" s="3"/>
    </row>
    <row r="27" spans="1:10" ht="18" customHeight="1" x14ac:dyDescent="0.35">
      <c r="A27" s="20" t="s">
        <v>62</v>
      </c>
      <c r="B27" s="20">
        <v>3</v>
      </c>
      <c r="C27" s="21" t="s">
        <v>10</v>
      </c>
      <c r="D27" s="21"/>
      <c r="E27" s="20"/>
      <c r="F27" s="20"/>
      <c r="G27" s="22">
        <v>0</v>
      </c>
      <c r="H27" s="3"/>
      <c r="I27" s="3"/>
      <c r="J27" s="3"/>
    </row>
    <row r="28" spans="1:10" ht="18" customHeight="1" x14ac:dyDescent="0.35">
      <c r="A28" s="20" t="s">
        <v>63</v>
      </c>
      <c r="B28" s="20">
        <v>3</v>
      </c>
      <c r="C28" s="20"/>
      <c r="D28" s="20"/>
      <c r="E28" s="20"/>
      <c r="F28" s="21" t="s">
        <v>10</v>
      </c>
      <c r="G28" s="22">
        <v>1</v>
      </c>
      <c r="H28" s="3"/>
      <c r="I28" s="3"/>
      <c r="J28" s="3"/>
    </row>
    <row r="29" spans="1:10" ht="18" customHeight="1" x14ac:dyDescent="0.35">
      <c r="A29" s="20" t="s">
        <v>64</v>
      </c>
      <c r="B29" s="20">
        <v>3</v>
      </c>
      <c r="C29" s="20"/>
      <c r="D29" s="20"/>
      <c r="E29" s="20"/>
      <c r="F29" s="21" t="s">
        <v>10</v>
      </c>
      <c r="G29" s="22">
        <v>1</v>
      </c>
      <c r="H29" s="3"/>
      <c r="I29" s="3"/>
      <c r="J29" s="3"/>
    </row>
    <row r="30" spans="1:10" ht="18" customHeight="1" x14ac:dyDescent="0.35">
      <c r="A30" s="19" t="s">
        <v>52</v>
      </c>
      <c r="B30" s="20"/>
      <c r="C30" s="20"/>
      <c r="D30" s="20"/>
      <c r="E30" s="20"/>
      <c r="F30" s="20"/>
      <c r="G30" s="23">
        <f>SUM(G25:G29)</f>
        <v>3.66</v>
      </c>
      <c r="H30" s="3"/>
      <c r="I30" s="3"/>
      <c r="J30" s="3"/>
    </row>
    <row r="32" spans="1:10" ht="22" customHeight="1" x14ac:dyDescent="0.35">
      <c r="A32" s="30" t="s">
        <v>65</v>
      </c>
      <c r="B32" s="31"/>
      <c r="C32" s="31"/>
      <c r="D32" s="31"/>
      <c r="E32" s="31"/>
      <c r="F32" s="31"/>
      <c r="G32" s="31"/>
      <c r="H32" s="32"/>
      <c r="I32" s="32"/>
      <c r="J32" s="32"/>
    </row>
    <row r="33" spans="1:10" ht="20" customHeight="1" x14ac:dyDescent="0.35">
      <c r="A33" s="19" t="s">
        <v>45</v>
      </c>
      <c r="B33" s="19" t="s">
        <v>2</v>
      </c>
      <c r="C33" s="19" t="s">
        <v>46</v>
      </c>
      <c r="D33" s="19" t="s">
        <v>22</v>
      </c>
      <c r="E33" s="19" t="s">
        <v>18</v>
      </c>
      <c r="F33" s="19" t="s">
        <v>11</v>
      </c>
      <c r="G33" s="19" t="s">
        <v>8</v>
      </c>
      <c r="H33" s="3"/>
      <c r="I33" s="3"/>
      <c r="J33" s="3"/>
    </row>
    <row r="34" spans="1:10" ht="18" customHeight="1" x14ac:dyDescent="0.35">
      <c r="A34" s="20" t="s">
        <v>66</v>
      </c>
      <c r="B34" s="20">
        <v>4</v>
      </c>
      <c r="C34" s="21" t="s">
        <v>10</v>
      </c>
      <c r="D34" s="21"/>
      <c r="E34" s="20"/>
      <c r="F34" s="20"/>
      <c r="G34" s="22">
        <v>0</v>
      </c>
      <c r="H34" s="3"/>
      <c r="I34" s="7">
        <f>SUM(G34:G38)</f>
        <v>1.33</v>
      </c>
      <c r="J34" s="3"/>
    </row>
    <row r="35" spans="1:10" ht="18" customHeight="1" x14ac:dyDescent="0.35">
      <c r="A35" s="20" t="s">
        <v>67</v>
      </c>
      <c r="B35" s="20">
        <v>4</v>
      </c>
      <c r="C35" s="20"/>
      <c r="D35" s="21" t="s">
        <v>10</v>
      </c>
      <c r="E35" s="21"/>
      <c r="F35" s="20"/>
      <c r="G35" s="22">
        <v>0.33</v>
      </c>
      <c r="H35" s="3"/>
      <c r="I35" s="3"/>
      <c r="J35" s="3"/>
    </row>
    <row r="36" spans="1:10" ht="18" customHeight="1" x14ac:dyDescent="0.35">
      <c r="A36" s="20" t="s">
        <v>68</v>
      </c>
      <c r="B36" s="20">
        <v>4</v>
      </c>
      <c r="C36" s="21" t="s">
        <v>10</v>
      </c>
      <c r="D36" s="21"/>
      <c r="E36" s="20"/>
      <c r="F36" s="20"/>
      <c r="G36" s="22">
        <v>0</v>
      </c>
      <c r="H36" s="3"/>
      <c r="I36" s="3"/>
      <c r="J36" s="3"/>
    </row>
    <row r="37" spans="1:10" ht="18" customHeight="1" x14ac:dyDescent="0.35">
      <c r="A37" s="20" t="s">
        <v>69</v>
      </c>
      <c r="B37" s="20">
        <v>4</v>
      </c>
      <c r="C37" s="20"/>
      <c r="D37" s="20"/>
      <c r="E37" s="20"/>
      <c r="F37" s="21" t="s">
        <v>10</v>
      </c>
      <c r="G37" s="22">
        <v>1</v>
      </c>
      <c r="H37" s="3"/>
      <c r="I37" s="3"/>
      <c r="J37" s="3"/>
    </row>
    <row r="38" spans="1:10" ht="18" customHeight="1" x14ac:dyDescent="0.35">
      <c r="A38" s="20" t="s">
        <v>70</v>
      </c>
      <c r="B38" s="20">
        <v>4</v>
      </c>
      <c r="C38" s="21" t="s">
        <v>10</v>
      </c>
      <c r="D38" s="21"/>
      <c r="E38" s="20"/>
      <c r="F38" s="20"/>
      <c r="G38" s="22">
        <v>0</v>
      </c>
      <c r="H38" s="3"/>
      <c r="I38" s="3"/>
      <c r="J38" s="3"/>
    </row>
    <row r="39" spans="1:10" ht="18" customHeight="1" x14ac:dyDescent="0.35">
      <c r="A39" s="19" t="s">
        <v>52</v>
      </c>
      <c r="B39" s="20"/>
      <c r="C39" s="20"/>
      <c r="D39" s="20"/>
      <c r="E39" s="20"/>
      <c r="F39" s="20"/>
      <c r="G39" s="23">
        <f>SUM(G34:G38)</f>
        <v>1.33</v>
      </c>
      <c r="H39" s="3"/>
      <c r="I39" s="3"/>
      <c r="J39" s="3"/>
    </row>
    <row r="41" spans="1:10" ht="22" customHeight="1" x14ac:dyDescent="0.35">
      <c r="A41" s="30" t="s">
        <v>71</v>
      </c>
      <c r="B41" s="31"/>
      <c r="C41" s="31"/>
      <c r="D41" s="31"/>
      <c r="E41" s="31"/>
      <c r="F41" s="31"/>
      <c r="G41" s="31"/>
      <c r="H41" s="32"/>
      <c r="I41" s="32"/>
      <c r="J41" s="32"/>
    </row>
    <row r="42" spans="1:10" ht="20" customHeight="1" x14ac:dyDescent="0.35">
      <c r="A42" s="19" t="s">
        <v>45</v>
      </c>
      <c r="B42" s="19" t="s">
        <v>2</v>
      </c>
      <c r="C42" s="19" t="s">
        <v>46</v>
      </c>
      <c r="D42" s="19" t="s">
        <v>22</v>
      </c>
      <c r="E42" s="19" t="s">
        <v>18</v>
      </c>
      <c r="F42" s="19" t="s">
        <v>11</v>
      </c>
      <c r="G42" s="19" t="s">
        <v>8</v>
      </c>
      <c r="H42" s="3"/>
      <c r="I42" s="3"/>
      <c r="J42" s="3"/>
    </row>
    <row r="43" spans="1:10" ht="18" customHeight="1" x14ac:dyDescent="0.35">
      <c r="A43" s="20" t="s">
        <v>72</v>
      </c>
      <c r="B43" s="20">
        <v>5</v>
      </c>
      <c r="C43" s="20"/>
      <c r="D43" s="20"/>
      <c r="E43" s="20"/>
      <c r="F43" s="21" t="s">
        <v>10</v>
      </c>
      <c r="G43" s="22">
        <v>1</v>
      </c>
      <c r="H43" s="3"/>
      <c r="I43" s="3"/>
      <c r="J43" s="3"/>
    </row>
    <row r="44" spans="1:10" ht="18" customHeight="1" x14ac:dyDescent="0.35">
      <c r="A44" s="20" t="s">
        <v>73</v>
      </c>
      <c r="B44" s="20">
        <v>5</v>
      </c>
      <c r="C44" s="21" t="s">
        <v>10</v>
      </c>
      <c r="D44" s="21"/>
      <c r="E44" s="20"/>
      <c r="F44" s="20"/>
      <c r="G44" s="22">
        <v>0</v>
      </c>
      <c r="H44" s="3"/>
      <c r="I44" s="3"/>
      <c r="J44" s="3"/>
    </row>
    <row r="45" spans="1:10" ht="18" customHeight="1" x14ac:dyDescent="0.35">
      <c r="A45" s="20" t="s">
        <v>74</v>
      </c>
      <c r="B45" s="20">
        <v>5</v>
      </c>
      <c r="C45" s="20"/>
      <c r="D45" s="20"/>
      <c r="E45" s="20"/>
      <c r="F45" s="21" t="s">
        <v>10</v>
      </c>
      <c r="G45" s="22">
        <v>1</v>
      </c>
      <c r="H45" s="3"/>
      <c r="I45" s="7">
        <f>SUM(G43:G47)</f>
        <v>3</v>
      </c>
      <c r="J45" s="3"/>
    </row>
    <row r="46" spans="1:10" ht="18" customHeight="1" x14ac:dyDescent="0.35">
      <c r="A46" s="20" t="s">
        <v>75</v>
      </c>
      <c r="B46" s="20">
        <v>5</v>
      </c>
      <c r="C46" s="21" t="s">
        <v>10</v>
      </c>
      <c r="D46" s="21"/>
      <c r="E46" s="20"/>
      <c r="F46" s="20"/>
      <c r="G46" s="22">
        <v>0</v>
      </c>
      <c r="H46" s="3"/>
      <c r="I46" s="3"/>
      <c r="J46" s="3"/>
    </row>
    <row r="47" spans="1:10" ht="18" customHeight="1" x14ac:dyDescent="0.35">
      <c r="A47" s="20" t="s">
        <v>76</v>
      </c>
      <c r="B47" s="20">
        <v>5</v>
      </c>
      <c r="C47" s="20"/>
      <c r="D47" s="20"/>
      <c r="E47" s="20"/>
      <c r="F47" s="21" t="s">
        <v>10</v>
      </c>
      <c r="G47" s="22">
        <v>1</v>
      </c>
      <c r="H47" s="3"/>
      <c r="I47" s="3"/>
      <c r="J47" s="3"/>
    </row>
    <row r="48" spans="1:10" ht="18" customHeight="1" x14ac:dyDescent="0.35">
      <c r="A48" s="19" t="s">
        <v>52</v>
      </c>
      <c r="B48" s="20"/>
      <c r="C48" s="20"/>
      <c r="D48" s="20"/>
      <c r="E48" s="20"/>
      <c r="F48" s="20"/>
      <c r="G48" s="23">
        <f>SUM(G43:G47)</f>
        <v>3</v>
      </c>
      <c r="H48" s="3"/>
      <c r="I48" s="3"/>
      <c r="J48" s="3"/>
    </row>
    <row r="51" spans="1:10" ht="22" customHeight="1" x14ac:dyDescent="0.35">
      <c r="A51" s="30" t="s">
        <v>77</v>
      </c>
      <c r="B51" s="31"/>
      <c r="C51" s="31"/>
      <c r="D51" s="31"/>
      <c r="E51" s="31"/>
      <c r="F51" s="31"/>
      <c r="G51" s="3"/>
      <c r="H51" s="3"/>
      <c r="I51" s="3"/>
      <c r="J51" s="3"/>
    </row>
    <row r="52" spans="1:10" ht="30" customHeight="1" x14ac:dyDescent="0.35">
      <c r="A52" s="25" t="s">
        <v>78</v>
      </c>
      <c r="B52" s="25" t="s">
        <v>79</v>
      </c>
      <c r="C52" s="25" t="s">
        <v>2</v>
      </c>
      <c r="D52" s="25" t="s">
        <v>80</v>
      </c>
      <c r="E52" s="25" t="s">
        <v>81</v>
      </c>
      <c r="F52" s="25" t="s">
        <v>82</v>
      </c>
      <c r="G52" s="3"/>
      <c r="H52" s="3"/>
      <c r="I52" s="3"/>
      <c r="J52" s="3"/>
    </row>
    <row r="53" spans="1:10" ht="18" customHeight="1" x14ac:dyDescent="0.35">
      <c r="A53" s="20" t="s">
        <v>83</v>
      </c>
      <c r="B53" s="20" t="s">
        <v>84</v>
      </c>
      <c r="C53" s="20">
        <v>1</v>
      </c>
      <c r="D53" s="22">
        <v>5</v>
      </c>
      <c r="E53" s="20">
        <v>5</v>
      </c>
      <c r="F53" s="22">
        <f>D53/E53</f>
        <v>1</v>
      </c>
      <c r="G53" s="3"/>
      <c r="H53" s="7">
        <f>D53/E53</f>
        <v>1</v>
      </c>
      <c r="I53" s="3"/>
      <c r="J53" s="3"/>
    </row>
    <row r="54" spans="1:10" ht="18" customHeight="1" x14ac:dyDescent="0.35">
      <c r="A54" s="20" t="s">
        <v>83</v>
      </c>
      <c r="B54" s="20" t="s">
        <v>84</v>
      </c>
      <c r="C54" s="20">
        <v>2</v>
      </c>
      <c r="D54" s="22">
        <v>3.66</v>
      </c>
      <c r="E54" s="20">
        <v>5</v>
      </c>
      <c r="F54" s="22">
        <f>D54/E54</f>
        <v>0.73199999999999998</v>
      </c>
      <c r="G54" s="3"/>
      <c r="H54" s="3">
        <f>D54/E54</f>
        <v>0.73199999999999998</v>
      </c>
      <c r="I54" s="7">
        <f>ROUND(H54, 2)</f>
        <v>0.73</v>
      </c>
      <c r="J54" s="3"/>
    </row>
    <row r="55" spans="1:10" ht="18" customHeight="1" x14ac:dyDescent="0.35">
      <c r="A55" s="20" t="s">
        <v>83</v>
      </c>
      <c r="B55" s="20" t="s">
        <v>84</v>
      </c>
      <c r="C55" s="20">
        <v>3</v>
      </c>
      <c r="D55" s="22">
        <v>3.66</v>
      </c>
      <c r="E55" s="20">
        <v>5</v>
      </c>
      <c r="F55" s="22">
        <f>D55/E55</f>
        <v>0.73199999999999998</v>
      </c>
      <c r="G55" s="3"/>
      <c r="H55" s="3">
        <f>D55/E55</f>
        <v>0.73199999999999998</v>
      </c>
      <c r="I55" s="7">
        <f>ROUND(H55,2)</f>
        <v>0.73</v>
      </c>
      <c r="J55" s="3"/>
    </row>
    <row r="56" spans="1:10" ht="18" customHeight="1" x14ac:dyDescent="0.35">
      <c r="A56" s="20" t="s">
        <v>83</v>
      </c>
      <c r="B56" s="20" t="s">
        <v>84</v>
      </c>
      <c r="C56" s="20">
        <v>4</v>
      </c>
      <c r="D56" s="22">
        <v>1.33</v>
      </c>
      <c r="E56" s="20">
        <v>5</v>
      </c>
      <c r="F56" s="22">
        <f>D56/E56</f>
        <v>0.26600000000000001</v>
      </c>
      <c r="G56" s="3"/>
      <c r="H56" s="3">
        <f>D56/E56</f>
        <v>0.26600000000000001</v>
      </c>
      <c r="I56" s="3"/>
      <c r="J56" s="3"/>
    </row>
    <row r="57" spans="1:10" ht="18" customHeight="1" x14ac:dyDescent="0.35">
      <c r="A57" s="20" t="s">
        <v>83</v>
      </c>
      <c r="B57" s="20" t="s">
        <v>84</v>
      </c>
      <c r="C57" s="20">
        <v>5</v>
      </c>
      <c r="D57" s="22">
        <v>3</v>
      </c>
      <c r="E57" s="20">
        <v>5</v>
      </c>
      <c r="F57" s="22">
        <f>D57/E57</f>
        <v>0.6</v>
      </c>
      <c r="G57" s="3"/>
      <c r="H57" s="3">
        <f>D57/E57</f>
        <v>0.6</v>
      </c>
      <c r="I57" s="3">
        <f>ROUND(H57,2)</f>
        <v>0.6</v>
      </c>
      <c r="J57" s="3"/>
    </row>
    <row r="59" spans="1:10" ht="22" customHeight="1" x14ac:dyDescent="0.35">
      <c r="A59" s="30" t="s">
        <v>85</v>
      </c>
      <c r="B59" s="31"/>
      <c r="C59" s="31"/>
      <c r="D59" s="31"/>
      <c r="E59" s="3"/>
      <c r="F59" s="3"/>
      <c r="G59" s="3"/>
      <c r="H59" s="3"/>
      <c r="I59" s="3"/>
      <c r="J59" s="3"/>
    </row>
    <row r="60" spans="1:10" ht="30" customHeight="1" x14ac:dyDescent="0.35">
      <c r="A60" s="25" t="s">
        <v>78</v>
      </c>
      <c r="B60" s="25" t="s">
        <v>2</v>
      </c>
      <c r="C60" s="25" t="s">
        <v>86</v>
      </c>
      <c r="D60" s="25" t="s">
        <v>87</v>
      </c>
      <c r="E60" s="3"/>
      <c r="F60" s="3"/>
      <c r="G60" s="3"/>
      <c r="H60" s="3"/>
      <c r="I60" s="3"/>
      <c r="J60" s="3"/>
    </row>
    <row r="61" spans="1:10" ht="18" customHeight="1" x14ac:dyDescent="0.35">
      <c r="A61" s="20" t="s">
        <v>88</v>
      </c>
      <c r="B61" s="20">
        <v>0</v>
      </c>
      <c r="C61" s="22">
        <v>0</v>
      </c>
      <c r="D61" s="22">
        <v>0</v>
      </c>
      <c r="E61" s="3"/>
      <c r="F61" s="7"/>
      <c r="G61" s="3"/>
      <c r="H61" s="3"/>
      <c r="I61" s="3"/>
      <c r="J61" s="3"/>
    </row>
    <row r="62" spans="1:10" ht="18" customHeight="1" x14ac:dyDescent="0.35">
      <c r="A62" s="20" t="s">
        <v>89</v>
      </c>
      <c r="B62" s="20">
        <v>1</v>
      </c>
      <c r="C62" s="22">
        <v>1</v>
      </c>
      <c r="D62" s="22">
        <f>C62/C67</f>
        <v>0.3003003003003003</v>
      </c>
      <c r="E62" s="3"/>
      <c r="F62" s="3">
        <f>C62/C67</f>
        <v>0.3003003003003003</v>
      </c>
      <c r="G62" s="3">
        <f>ROUND(F62,2)</f>
        <v>0.3</v>
      </c>
      <c r="H62" s="3"/>
      <c r="I62" s="3"/>
      <c r="J62" s="3"/>
    </row>
    <row r="63" spans="1:10" ht="18" customHeight="1" x14ac:dyDescent="0.35">
      <c r="A63" s="20" t="s">
        <v>90</v>
      </c>
      <c r="B63" s="20">
        <v>2</v>
      </c>
      <c r="C63" s="22">
        <v>0.73</v>
      </c>
      <c r="D63" s="22">
        <f>C63/C67</f>
        <v>0.21921921921921922</v>
      </c>
      <c r="E63" s="3"/>
      <c r="F63" s="3">
        <f>C63/C67</f>
        <v>0.21921921921921922</v>
      </c>
      <c r="G63" s="3">
        <f>ROUND(F63,2)</f>
        <v>0.22</v>
      </c>
      <c r="H63" s="3"/>
      <c r="I63" s="3"/>
      <c r="J63" s="3"/>
    </row>
    <row r="64" spans="1:10" ht="18" customHeight="1" x14ac:dyDescent="0.35">
      <c r="A64" s="20" t="s">
        <v>91</v>
      </c>
      <c r="B64" s="20">
        <v>3</v>
      </c>
      <c r="C64" s="22">
        <v>0.73</v>
      </c>
      <c r="D64" s="22">
        <f>C64/C67</f>
        <v>0.21921921921921922</v>
      </c>
      <c r="E64" s="3"/>
      <c r="F64" s="3">
        <f>C64/C67</f>
        <v>0.21921921921921922</v>
      </c>
      <c r="G64" s="3">
        <f>ROUND(F64,2)</f>
        <v>0.22</v>
      </c>
      <c r="H64" s="3"/>
      <c r="I64" s="3"/>
      <c r="J64" s="3"/>
    </row>
    <row r="65" spans="1:10" ht="18" customHeight="1" x14ac:dyDescent="0.35">
      <c r="A65" s="20" t="s">
        <v>92</v>
      </c>
      <c r="B65" s="20">
        <v>4</v>
      </c>
      <c r="C65" s="22">
        <v>0.27</v>
      </c>
      <c r="D65" s="22">
        <f>C65/C67</f>
        <v>8.1081081081081086E-2</v>
      </c>
      <c r="E65" s="3"/>
      <c r="F65" s="3">
        <f>C65/C67</f>
        <v>8.1081081081081086E-2</v>
      </c>
      <c r="G65" s="3">
        <f>ROUND(F65,2)</f>
        <v>0.08</v>
      </c>
      <c r="H65" s="3"/>
      <c r="I65" s="3"/>
      <c r="J65" s="3"/>
    </row>
    <row r="66" spans="1:10" ht="18" customHeight="1" x14ac:dyDescent="0.35">
      <c r="A66" s="20" t="s">
        <v>93</v>
      </c>
      <c r="B66" s="20">
        <v>5</v>
      </c>
      <c r="C66" s="22">
        <v>0.6</v>
      </c>
      <c r="D66" s="22">
        <f>C66/C67</f>
        <v>0.18018018018018017</v>
      </c>
      <c r="E66" s="3"/>
      <c r="F66" s="3">
        <f>C66/C67</f>
        <v>0.18018018018018017</v>
      </c>
      <c r="G66" s="3">
        <f>ROUND(F66,2)</f>
        <v>0.18</v>
      </c>
      <c r="H66" s="3"/>
      <c r="I66" s="3"/>
      <c r="J66" s="3"/>
    </row>
    <row r="67" spans="1:10" ht="18" customHeight="1" x14ac:dyDescent="0.35">
      <c r="A67" s="19" t="s">
        <v>52</v>
      </c>
      <c r="B67" s="19"/>
      <c r="C67" s="23">
        <f>SUM(C62:C66)</f>
        <v>3.33</v>
      </c>
      <c r="D67" s="23">
        <f>SUM(D62:D66)</f>
        <v>1</v>
      </c>
      <c r="E67" s="3"/>
      <c r="F67" s="3"/>
      <c r="G67" s="3"/>
      <c r="H67" s="3"/>
      <c r="I67" s="3"/>
      <c r="J67" s="3"/>
    </row>
    <row r="69" spans="1:10" ht="22" customHeight="1" x14ac:dyDescent="0.35">
      <c r="A69" s="24" t="s">
        <v>94</v>
      </c>
      <c r="B69" s="2"/>
      <c r="C69" s="2"/>
      <c r="D69" s="2"/>
      <c r="E69" s="2"/>
      <c r="F69" s="2"/>
      <c r="G69" s="2"/>
      <c r="H69" s="2"/>
      <c r="I69" s="2"/>
      <c r="J69" s="2"/>
    </row>
    <row r="70" spans="1:10" ht="30" customHeight="1" x14ac:dyDescent="0.35">
      <c r="A70" s="25" t="s">
        <v>78</v>
      </c>
      <c r="B70" s="25" t="s">
        <v>2</v>
      </c>
      <c r="C70" s="25" t="s">
        <v>95</v>
      </c>
      <c r="D70" s="25" t="s">
        <v>96</v>
      </c>
      <c r="E70" s="3"/>
      <c r="F70" s="3"/>
      <c r="G70" s="3"/>
      <c r="H70" s="3"/>
      <c r="I70" s="3"/>
      <c r="J70" s="3"/>
    </row>
    <row r="71" spans="1:10" ht="18" customHeight="1" x14ac:dyDescent="0.35">
      <c r="A71" s="20" t="s">
        <v>88</v>
      </c>
      <c r="B71" s="20">
        <v>0</v>
      </c>
      <c r="C71" s="22">
        <v>0</v>
      </c>
      <c r="D71" s="22">
        <v>0</v>
      </c>
      <c r="E71" s="3"/>
      <c r="F71" s="3"/>
      <c r="G71" s="3"/>
      <c r="H71" s="3"/>
      <c r="I71" s="3"/>
      <c r="J71" s="3"/>
    </row>
    <row r="72" spans="1:10" ht="18" customHeight="1" x14ac:dyDescent="0.35">
      <c r="A72" s="20" t="s">
        <v>89</v>
      </c>
      <c r="B72" s="20">
        <v>1</v>
      </c>
      <c r="C72" s="22">
        <v>0.3</v>
      </c>
      <c r="D72" s="22">
        <f>C72*B72</f>
        <v>0.3</v>
      </c>
      <c r="E72" s="3"/>
      <c r="F72" s="7"/>
      <c r="G72" s="3"/>
      <c r="H72" s="3"/>
      <c r="I72" s="3"/>
      <c r="J72" s="3"/>
    </row>
    <row r="73" spans="1:10" ht="18" customHeight="1" x14ac:dyDescent="0.35">
      <c r="A73" s="20" t="s">
        <v>90</v>
      </c>
      <c r="B73" s="20">
        <v>2</v>
      </c>
      <c r="C73" s="22">
        <v>0.22</v>
      </c>
      <c r="D73" s="22">
        <f>C73*B73</f>
        <v>0.44</v>
      </c>
      <c r="E73" s="3"/>
      <c r="F73" s="3"/>
      <c r="G73" s="3"/>
      <c r="H73" s="3"/>
      <c r="I73" s="3"/>
      <c r="J73" s="3"/>
    </row>
    <row r="74" spans="1:10" ht="18" customHeight="1" x14ac:dyDescent="0.35">
      <c r="A74" s="20" t="s">
        <v>91</v>
      </c>
      <c r="B74" s="20">
        <v>3</v>
      </c>
      <c r="C74" s="22">
        <v>0.22</v>
      </c>
      <c r="D74" s="22">
        <f>C74*B74</f>
        <v>0.66</v>
      </c>
      <c r="E74" s="3"/>
      <c r="F74" s="3"/>
      <c r="G74" s="3"/>
      <c r="H74" s="3"/>
      <c r="I74" s="3"/>
      <c r="J74" s="3"/>
    </row>
    <row r="75" spans="1:10" ht="18" customHeight="1" x14ac:dyDescent="0.35">
      <c r="A75" s="20" t="s">
        <v>92</v>
      </c>
      <c r="B75" s="20">
        <v>4</v>
      </c>
      <c r="C75" s="22">
        <v>0.08</v>
      </c>
      <c r="D75" s="22">
        <f>C75*B75</f>
        <v>0.32</v>
      </c>
      <c r="E75" s="3"/>
      <c r="F75" s="3"/>
      <c r="G75" s="3"/>
      <c r="H75" s="3"/>
      <c r="I75" s="3"/>
      <c r="J75" s="3"/>
    </row>
    <row r="76" spans="1:10" ht="18" customHeight="1" x14ac:dyDescent="0.35">
      <c r="A76" s="20" t="s">
        <v>93</v>
      </c>
      <c r="B76" s="20">
        <v>5</v>
      </c>
      <c r="C76" s="22">
        <v>0.18</v>
      </c>
      <c r="D76" s="22">
        <f>C76*B76</f>
        <v>0.89999999999999991</v>
      </c>
      <c r="E76" s="3"/>
      <c r="F76" s="3"/>
      <c r="G76" s="3"/>
      <c r="H76" s="3"/>
      <c r="I76" s="3"/>
      <c r="J76" s="3"/>
    </row>
    <row r="77" spans="1:10" ht="22" customHeight="1" x14ac:dyDescent="0.35">
      <c r="A77" s="27" t="s">
        <v>97</v>
      </c>
      <c r="B77" s="28"/>
      <c r="C77" s="29"/>
      <c r="D77" s="26">
        <f>SUM(D72:D76)</f>
        <v>2.62</v>
      </c>
      <c r="E77" s="3"/>
      <c r="F77" s="3"/>
      <c r="G77" s="3"/>
      <c r="H77" s="3"/>
      <c r="I77" s="3"/>
      <c r="J77" s="3"/>
    </row>
    <row r="79" spans="1:10" ht="30" customHeight="1" x14ac:dyDescent="0.35">
      <c r="A79" s="37" t="s">
        <v>98</v>
      </c>
      <c r="B79" s="38"/>
      <c r="C79" s="38"/>
      <c r="D79" s="38"/>
    </row>
  </sheetData>
  <mergeCells count="11">
    <mergeCell ref="A79:D79"/>
    <mergeCell ref="A69:J69"/>
    <mergeCell ref="A77:C77"/>
    <mergeCell ref="A59:D59"/>
    <mergeCell ref="A51:F51"/>
    <mergeCell ref="A41:G41"/>
    <mergeCell ref="A32:G32"/>
    <mergeCell ref="A23:G23"/>
    <mergeCell ref="A14:G14"/>
    <mergeCell ref="A5:G5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Kuesioner DSS01</vt:lpstr>
      <vt:lpstr>Perhitungan Maturity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Raisa Dastria Tiananda</cp:lastModifiedBy>
  <dcterms:created xsi:type="dcterms:W3CDTF">2026-06-21T03:30:23Z</dcterms:created>
  <dcterms:modified xsi:type="dcterms:W3CDTF">2026-06-22T02:58:50Z</dcterms:modified>
</cp:coreProperties>
</file>